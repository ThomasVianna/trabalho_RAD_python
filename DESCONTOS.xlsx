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mCruz\Google Drive\CURSOS\2018\2018-05 ExcelAvançadoMaio2018\Aula (4)\"/>
    </mc:Choice>
  </mc:AlternateContent>
  <xr:revisionPtr revIDLastSave="0" documentId="13_ncr:1_{CFA4D398-48E5-47CA-9C38-9BEDF9BDAE38}" xr6:coauthVersionLast="46" xr6:coauthVersionMax="46" xr10:uidLastSave="{00000000-0000-0000-0000-000000000000}"/>
  <bookViews>
    <workbookView xWindow="-120" yWindow="-11190" windowWidth="20730" windowHeight="11310" xr2:uid="{00000000-000D-0000-FFFF-FFFF00000000}"/>
  </bookViews>
  <sheets>
    <sheet name="WS_BRINQUEDOS_BRINCADEIRA" sheetId="1" r:id="rId1"/>
  </sheets>
  <definedNames>
    <definedName name="impostoAhPagar">WS_BRINQUEDOS_BRINCADEIRA!$F$7:$F$23</definedName>
    <definedName name="ImpostoDeRenda">WS_BRINQUEDOS_BRINCADEIRA!$I$8:$K$12</definedName>
    <definedName name="impostoRenda">WS_BRINQUEDOS_BRINCADEIRA!$D$7:$D$23</definedName>
    <definedName name="Inss">WS_BRINQUEDOS_BRINCADEIRA!$M$8:$N$10</definedName>
    <definedName name="inssAhPagar">WS_BRINQUEDOS_BRINCADEIRA!$G$7:$G$23</definedName>
    <definedName name="parcelaDeduzir">WS_BRINQUEDOS_BRINCADEIRA!$E$7:$E$23</definedName>
    <definedName name="SALARIO">WS_BRINQUEDOS_BRINCADEIRA!$C$7:$C$23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" i="1" l="1" a="1"/>
  <c r="G7" i="1" s="1"/>
  <c r="F11" i="1"/>
  <c r="F15" i="1"/>
  <c r="F19" i="1"/>
  <c r="F23" i="1"/>
  <c r="E8" i="1"/>
  <c r="E9" i="1"/>
  <c r="E10" i="1"/>
  <c r="F10" i="1" s="1"/>
  <c r="E11" i="1"/>
  <c r="E12" i="1"/>
  <c r="E13" i="1"/>
  <c r="E14" i="1"/>
  <c r="F14" i="1" s="1"/>
  <c r="E15" i="1"/>
  <c r="E16" i="1"/>
  <c r="E17" i="1"/>
  <c r="E18" i="1"/>
  <c r="F18" i="1" s="1"/>
  <c r="E19" i="1"/>
  <c r="E20" i="1"/>
  <c r="E21" i="1"/>
  <c r="E22" i="1"/>
  <c r="F22" i="1" s="1"/>
  <c r="E23" i="1"/>
  <c r="D8" i="1"/>
  <c r="F8" i="1" s="1"/>
  <c r="D9" i="1"/>
  <c r="F9" i="1" s="1"/>
  <c r="D10" i="1"/>
  <c r="D11" i="1"/>
  <c r="D12" i="1"/>
  <c r="F12" i="1" s="1"/>
  <c r="D13" i="1"/>
  <c r="F13" i="1" s="1"/>
  <c r="D14" i="1"/>
  <c r="D15" i="1"/>
  <c r="D16" i="1"/>
  <c r="F16" i="1" s="1"/>
  <c r="D17" i="1"/>
  <c r="F17" i="1" s="1"/>
  <c r="D18" i="1"/>
  <c r="D19" i="1"/>
  <c r="D20" i="1"/>
  <c r="F20" i="1" s="1"/>
  <c r="D21" i="1"/>
  <c r="F21" i="1" s="1"/>
  <c r="D22" i="1"/>
  <c r="D23" i="1"/>
  <c r="D7" i="1" l="1"/>
  <c r="E7" i="1"/>
  <c r="F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<sst xmlns="http://schemas.openxmlformats.org/spreadsheetml/2006/main" count="30" uniqueCount="26">
  <si>
    <t>Nome</t>
  </si>
  <si>
    <t>Salário</t>
  </si>
  <si>
    <t>IR</t>
  </si>
  <si>
    <t>IR a pagar</t>
  </si>
  <si>
    <t>Parcela IR a deduzir</t>
  </si>
  <si>
    <t>INSS a pagar</t>
  </si>
  <si>
    <t>Alíquota</t>
  </si>
  <si>
    <t>Parcela a deduzir</t>
  </si>
  <si>
    <t>INSS</t>
  </si>
  <si>
    <t>Roseli</t>
  </si>
  <si>
    <t>Mariana</t>
  </si>
  <si>
    <t>Geraldo</t>
  </si>
  <si>
    <t>Maria Inês</t>
  </si>
  <si>
    <t>Sabrina</t>
  </si>
  <si>
    <t>Mercia</t>
  </si>
  <si>
    <t>Benedito</t>
  </si>
  <si>
    <t>Henrique</t>
  </si>
  <si>
    <t>Fabia</t>
  </si>
  <si>
    <t>Marina</t>
  </si>
  <si>
    <t>Eunice</t>
  </si>
  <si>
    <t>Vania</t>
  </si>
  <si>
    <t>Leonardo</t>
  </si>
  <si>
    <t>Roberto</t>
  </si>
  <si>
    <t>Felipe</t>
  </si>
  <si>
    <t>Hilda</t>
  </si>
  <si>
    <t>Katarina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</si>
</sst>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* #,##0.0000_-;\-* #,##0.00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2" borderId="0" applyNumberFormat="0" applyBorder="0" applyAlignment="0" applyProtection="0"/>
  </cellStyleXfs>
  <cellXfs count="30">
    <xf numFmtId="0" fontId="0" fillId="0" borderId="0" xfId="0"/>
    <xf numFmtId="43" fontId="0" fillId="0" borderId="0" xfId="1" applyFont="1"/>
    <xf numFmtId="0" fontId="2" fillId="0" borderId="1" xfId="0" applyFont="1" applyBorder="1" applyAlignment="1">
      <alignment horizontal="center" vertical="center" wrapText="1"/>
    </xf>
    <xf numFmtId="43" fontId="0" fillId="0" borderId="1" xfId="1" applyFont="1" applyBorder="1"/>
    <xf numFmtId="43" fontId="4" fillId="0" borderId="1" xfId="1" applyFont="1" applyBorder="1"/>
    <xf numFmtId="0" fontId="0" fillId="0" borderId="0" xfId="0" applyFont="1"/>
    <xf numFmtId="0" fontId="0" fillId="0" borderId="1" xfId="0" applyFont="1" applyBorder="1"/>
    <xf numFmtId="3" fontId="0" fillId="0" borderId="1" xfId="0" applyNumberFormat="1" applyFont="1" applyBorder="1" applyAlignment="1">
      <alignment horizontal="center" vertical="top" wrapText="1"/>
    </xf>
    <xf numFmtId="9" fontId="0" fillId="0" borderId="1" xfId="0" applyNumberFormat="1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4" fontId="0" fillId="0" borderId="1" xfId="0" applyNumberFormat="1" applyFont="1" applyBorder="1" applyAlignment="1">
      <alignment horizontal="center" vertical="top" wrapText="1"/>
    </xf>
    <xf numFmtId="164" fontId="0" fillId="0" borderId="1" xfId="0" applyNumberFormat="1" applyFont="1" applyBorder="1" applyAlignment="1">
      <alignment horizontal="center" vertical="top" wrapText="1"/>
    </xf>
    <xf numFmtId="10" fontId="0" fillId="0" borderId="1" xfId="0" applyNumberFormat="1" applyFont="1" applyBorder="1" applyAlignment="1">
      <alignment horizontal="center" vertical="top" wrapText="1"/>
    </xf>
    <xf numFmtId="0" fontId="0" fillId="0" borderId="1" xfId="0" applyFont="1" applyFill="1" applyBorder="1"/>
    <xf numFmtId="43" fontId="0" fillId="0" borderId="1" xfId="1" applyFont="1" applyBorder="1" applyAlignment="1">
      <alignment horizontal="center" vertical="top" wrapText="1"/>
    </xf>
    <xf numFmtId="44" fontId="4" fillId="0" borderId="1" xfId="2" applyFont="1" applyBorder="1"/>
    <xf numFmtId="165" fontId="0" fillId="0" borderId="1" xfId="1" applyNumberFormat="1" applyFont="1" applyBorder="1"/>
    <xf numFmtId="0" fontId="0" fillId="3" borderId="0" xfId="0" applyFont="1" applyFill="1"/>
    <xf numFmtId="43" fontId="0" fillId="3" borderId="0" xfId="1" applyFont="1" applyFill="1"/>
    <xf numFmtId="0" fontId="0" fillId="4" borderId="0" xfId="0" applyFont="1" applyFill="1"/>
    <xf numFmtId="43" fontId="0" fillId="4" borderId="0" xfId="1" applyFont="1" applyFill="1"/>
    <xf numFmtId="0" fontId="3" fillId="0" borderId="0" xfId="0" applyFont="1" applyAlignment="1"/>
    <xf numFmtId="0" fontId="0" fillId="0" borderId="0" xfId="0" applyFont="1" applyAlignment="1">
      <alignment horizontal="center" vertical="center"/>
    </xf>
    <xf numFmtId="43" fontId="5" fillId="3" borderId="1" xfId="3" applyNumberFormat="1" applyFill="1" applyBorder="1" applyAlignment="1">
      <alignment horizontal="center" vertical="center" wrapText="1"/>
    </xf>
    <xf numFmtId="0" fontId="5" fillId="3" borderId="1" xfId="3" applyFill="1" applyBorder="1" applyAlignment="1">
      <alignment horizontal="center" vertical="center" wrapText="1"/>
    </xf>
    <xf numFmtId="0" fontId="5" fillId="3" borderId="1" xfId="3" applyFill="1" applyBorder="1" applyAlignment="1">
      <alignment horizontal="center" vertical="center"/>
    </xf>
    <xf numFmtId="43" fontId="5" fillId="3" borderId="1" xfId="3" applyNumberFormat="1" applyFill="1" applyBorder="1" applyAlignment="1">
      <alignment horizontal="center" vertical="center"/>
    </xf>
    <xf numFmtId="43" fontId="0" fillId="0" borderId="0" xfId="1" quotePrefix="1" applyFont="1"/>
    <xf numFmtId="43" fontId="0" fillId="0" borderId="0" xfId="0" applyNumberFormat="1" applyFont="1"/>
    <xf numFmtId="43" fontId="6" fillId="0" borderId="0" xfId="0" applyNumberFormat="1" applyFont="1"/>
  </cellXfs>
  <cellStyles count="4">
    <cellStyle name="Ênfase1" xfId="3" builtinId="29"/>
    <cellStyle name="Moeda" xfId="2" builtinId="4"/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9525</xdr:rowOff>
    </xdr:from>
    <xdr:to>
      <xdr:col>7</xdr:col>
      <xdr:colOff>38100</xdr:colOff>
      <xdr:row>1</xdr:row>
      <xdr:rowOff>161925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1109137-80B5-4F6D-97B5-3672FB87BD59}"/>
            </a:ext>
          </a:extLst>
        </xdr:cNvPr>
        <xdr:cNvSpPr/>
      </xdr:nvSpPr>
      <xdr:spPr>
        <a:xfrm>
          <a:off x="647700" y="9525"/>
          <a:ext cx="4400550" cy="3429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BRINQUEDOS E BRINCADEIRAS</a:t>
          </a:r>
        </a:p>
      </xdr:txBody>
    </xdr:sp>
    <xdr:clientData/>
  </xdr:twoCellAnchor>
  <xdr:twoCellAnchor>
    <xdr:from>
      <xdr:col>7</xdr:col>
      <xdr:colOff>295274</xdr:colOff>
      <xdr:row>0</xdr:row>
      <xdr:rowOff>0</xdr:rowOff>
    </xdr:from>
    <xdr:to>
      <xdr:col>14</xdr:col>
      <xdr:colOff>219074</xdr:colOff>
      <xdr:row>1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72D21F3-26E6-4DE1-A6D2-9BB14D84F8A0}"/>
            </a:ext>
          </a:extLst>
        </xdr:cNvPr>
        <xdr:cNvSpPr/>
      </xdr:nvSpPr>
      <xdr:spPr>
        <a:xfrm>
          <a:off x="5305424" y="0"/>
          <a:ext cx="5705475" cy="3429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TABELAS</a:t>
          </a:r>
          <a:r>
            <a:rPr lang="pt-BR" sz="1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AUXILIARES</a:t>
          </a:r>
          <a:endParaRPr lang="pt-BR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9525</xdr:colOff>
      <xdr:row>12</xdr:row>
      <xdr:rowOff>152400</xdr:rowOff>
    </xdr:from>
    <xdr:to>
      <xdr:col>11</xdr:col>
      <xdr:colOff>1085850</xdr:colOff>
      <xdr:row>21</xdr:row>
      <xdr:rowOff>133350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FC10C9A-ED33-4D38-BEBC-F043227A3179}"/>
            </a:ext>
          </a:extLst>
        </xdr:cNvPr>
        <xdr:cNvSpPr/>
      </xdr:nvSpPr>
      <xdr:spPr>
        <a:xfrm>
          <a:off x="6496050" y="2752725"/>
          <a:ext cx="3267075" cy="1695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  <a:p>
          <a:pPr algn="l"/>
          <a:r>
            <a:rPr lang="pt-BR" sz="1100"/>
            <a:t>INSS A PAGAR: SALARIO * ALIQUOTA INSS;</a:t>
          </a:r>
        </a:p>
        <a:p>
          <a:pPr algn="l"/>
          <a:endParaRPr lang="pt-BR" sz="1100"/>
        </a:p>
        <a:p>
          <a:pPr algn="l"/>
          <a:r>
            <a:rPr lang="pt-BR" sz="1100"/>
            <a:t>IR:</a:t>
          </a:r>
          <a:r>
            <a:rPr lang="pt-BR" sz="1100" baseline="0"/>
            <a:t>  SALÁRIO * ALIQUOTA DO IR ( BASEADA NO SALÁRIO MENOS INSS)</a:t>
          </a:r>
        </a:p>
        <a:p>
          <a:pPr algn="l"/>
          <a:endParaRPr lang="pt-BR" sz="1100" baseline="0"/>
        </a:p>
        <a:p>
          <a:pPr algn="l"/>
          <a:r>
            <a:rPr lang="pt-BR" sz="1100" baseline="0"/>
            <a:t>IR A PAGAR = IR - PARCELA A DEDUZIR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3"/>
  <sheetViews>
    <sheetView showGridLines="0" tabSelected="1" zoomScaleNormal="100" workbookViewId="0">
      <selection activeCell="F7" sqref="F7"/>
    </sheetView>
  </sheetViews>
  <sheetFormatPr defaultRowHeight="15" x14ac:dyDescent="0.25"/>
  <cols>
    <col min="1" max="1" width="9.140625" style="5"/>
    <col min="2" max="2" width="10.140625" style="5" bestFit="1" customWidth="1"/>
    <col min="3" max="3" width="9.5703125" style="1" bestFit="1" customWidth="1"/>
    <col min="4" max="4" width="11.5703125" style="1" bestFit="1" customWidth="1"/>
    <col min="5" max="5" width="13.140625" style="1" bestFit="1" customWidth="1"/>
    <col min="6" max="6" width="11.140625" style="1" bestFit="1" customWidth="1"/>
    <col min="7" max="7" width="14" style="1" bestFit="1" customWidth="1"/>
    <col min="8" max="8" width="18.5703125" style="5" customWidth="1"/>
    <col min="9" max="9" width="8.140625" style="5" bestFit="1" customWidth="1"/>
    <col min="10" max="10" width="8.5703125" style="5" bestFit="1" customWidth="1"/>
    <col min="11" max="11" width="16.140625" style="5" bestFit="1" customWidth="1"/>
    <col min="12" max="12" width="18.5703125" style="5" customWidth="1"/>
    <col min="13" max="13" width="13.85546875" style="5" customWidth="1"/>
    <col min="14" max="14" width="8.5703125" style="5" bestFit="1" customWidth="1"/>
    <col min="15" max="15" width="4" style="5" customWidth="1"/>
    <col min="16" max="16384" width="9.140625" style="5"/>
  </cols>
  <sheetData>
    <row r="1" spans="2:14" s="17" customFormat="1" x14ac:dyDescent="0.25">
      <c r="C1" s="18"/>
      <c r="D1" s="18"/>
      <c r="E1" s="18"/>
      <c r="F1" s="18"/>
      <c r="G1" s="18"/>
    </row>
    <row r="2" spans="2:14" s="17" customFormat="1" x14ac:dyDescent="0.25">
      <c r="C2" s="18"/>
      <c r="D2" s="18"/>
      <c r="E2" s="18"/>
      <c r="F2" s="18"/>
      <c r="G2" s="18"/>
    </row>
    <row r="3" spans="2:14" s="19" customFormat="1" x14ac:dyDescent="0.25">
      <c r="C3" s="20"/>
      <c r="D3" s="20"/>
      <c r="E3" s="20"/>
      <c r="F3" s="20"/>
      <c r="G3" s="20"/>
    </row>
    <row r="4" spans="2:14" ht="26.25" x14ac:dyDescent="0.4">
      <c r="B4" s="21"/>
      <c r="C4" s="21"/>
      <c r="D4" s="21"/>
      <c r="E4" s="21"/>
      <c r="F4" s="21"/>
      <c r="G4" s="21"/>
    </row>
    <row r="5" spans="2:14" x14ac:dyDescent="0.25">
      <c r="G5" s="27"/>
    </row>
    <row r="6" spans="2:14" s="22" customFormat="1" ht="28.5" x14ac:dyDescent="0.25">
      <c r="B6" s="24" t="s">
        <v>0</v>
      </c>
      <c r="C6" s="23" t="s">
        <v>1</v>
      </c>
      <c r="D6" s="23" t="s">
        <v>2</v>
      </c>
      <c r="E6" s="23" t="s">
        <v>4</v>
      </c>
      <c r="F6" s="23" t="s">
        <v>3</v>
      </c>
      <c r="G6" s="23" t="s">
        <v>5</v>
      </c>
      <c r="I6" s="25" t="s">
        <v>2</v>
      </c>
      <c r="J6" s="25"/>
      <c r="K6" s="25"/>
      <c r="M6" s="26" t="s">
        <v>8</v>
      </c>
      <c r="N6" s="26"/>
    </row>
    <row r="7" spans="2:14" x14ac:dyDescent="0.25">
      <c r="B7" s="6" t="s">
        <v>9</v>
      </c>
      <c r="C7" s="3">
        <v>1247.70999999999</v>
      </c>
      <c r="D7" s="16">
        <f xml:space="preserve"> VLOOKUP(C7-G7, ImpostoDeRenda,2, 1) * C7</f>
        <v>0</v>
      </c>
      <c r="E7" s="3">
        <f>VLOOKUP(C7-G7, ImpostoDeRenda, 3,TRUE)</f>
        <v>0</v>
      </c>
      <c r="F7" s="4">
        <f>D7-E7</f>
        <v>0</v>
      </c>
      <c r="G7" s="15" cm="1">
        <f t="array" ref="G7:G23">VLOOKUP(C7,$M:$N,2,1) * SALARIO</f>
        <v>99.816799999999205</v>
      </c>
      <c r="H7" s="28"/>
      <c r="I7" s="2" t="s">
        <v>1</v>
      </c>
      <c r="J7" s="2" t="s">
        <v>6</v>
      </c>
      <c r="K7" s="2" t="s">
        <v>7</v>
      </c>
      <c r="M7" s="2" t="s">
        <v>1</v>
      </c>
      <c r="N7" s="2" t="s">
        <v>6</v>
      </c>
    </row>
    <row r="8" spans="2:14" x14ac:dyDescent="0.25">
      <c r="B8" s="6" t="s">
        <v>10</v>
      </c>
      <c r="C8" s="3">
        <v>780</v>
      </c>
      <c r="D8" s="16">
        <f xml:space="preserve"> VLOOKUP(C8-G8, ImpostoDeRenda,2, 1) * C8</f>
        <v>0</v>
      </c>
      <c r="E8" s="3">
        <f>VLOOKUP(C8-G8, ImpostoDeRenda, 3,TRUE)</f>
        <v>0</v>
      </c>
      <c r="F8" s="4">
        <f t="shared" ref="F8:F23" si="0">D8-E8</f>
        <v>0</v>
      </c>
      <c r="G8" s="15">
        <v>62.4</v>
      </c>
      <c r="H8" s="28"/>
      <c r="I8" s="7">
        <v>0</v>
      </c>
      <c r="J8" s="8">
        <v>0</v>
      </c>
      <c r="K8" s="14">
        <v>0</v>
      </c>
      <c r="M8" s="9">
        <v>0</v>
      </c>
      <c r="N8" s="8">
        <v>0.08</v>
      </c>
    </row>
    <row r="9" spans="2:14" x14ac:dyDescent="0.25">
      <c r="B9" s="6" t="s">
        <v>11</v>
      </c>
      <c r="C9" s="3">
        <v>1378</v>
      </c>
      <c r="D9" s="16">
        <f xml:space="preserve"> VLOOKUP(C9-G9, ImpostoDeRenda,2, 1) * C9</f>
        <v>0</v>
      </c>
      <c r="E9" s="3">
        <f>VLOOKUP(C9-G9, ImpostoDeRenda, 3,TRUE)</f>
        <v>0</v>
      </c>
      <c r="F9" s="4">
        <f t="shared" si="0"/>
        <v>0</v>
      </c>
      <c r="G9" s="15">
        <v>110.24000000000001</v>
      </c>
      <c r="H9" s="28"/>
      <c r="I9" s="10">
        <v>1710.78</v>
      </c>
      <c r="J9" s="11">
        <v>7.4999999999999997E-2</v>
      </c>
      <c r="K9" s="14">
        <v>128.31</v>
      </c>
      <c r="M9" s="10">
        <v>1247.71</v>
      </c>
      <c r="N9" s="8">
        <v>0.09</v>
      </c>
    </row>
    <row r="10" spans="2:14" x14ac:dyDescent="0.25">
      <c r="B10" s="6" t="s">
        <v>12</v>
      </c>
      <c r="C10" s="3">
        <v>1560</v>
      </c>
      <c r="D10" s="16">
        <f xml:space="preserve"> VLOOKUP(C10-G10, ImpostoDeRenda,2, 1) * C10</f>
        <v>0</v>
      </c>
      <c r="E10" s="3">
        <f>VLOOKUP(C10-G10, ImpostoDeRenda, 3,TRUE)</f>
        <v>0</v>
      </c>
      <c r="F10" s="4">
        <f t="shared" si="0"/>
        <v>0</v>
      </c>
      <c r="G10" s="15">
        <v>124.8</v>
      </c>
      <c r="H10" s="28"/>
      <c r="I10" s="10">
        <v>2563.92</v>
      </c>
      <c r="J10" s="12">
        <v>0.15</v>
      </c>
      <c r="K10" s="14">
        <v>320.60000000000002</v>
      </c>
      <c r="M10" s="10">
        <v>2079.5100000000002</v>
      </c>
      <c r="N10" s="8">
        <v>0.11</v>
      </c>
    </row>
    <row r="11" spans="2:14" x14ac:dyDescent="0.25">
      <c r="B11" s="6" t="s">
        <v>13</v>
      </c>
      <c r="C11" s="3">
        <v>1467</v>
      </c>
      <c r="D11" s="16">
        <f xml:space="preserve"> VLOOKUP(C11-G11, ImpostoDeRenda,2, 1) * C11</f>
        <v>0</v>
      </c>
      <c r="E11" s="3">
        <f>VLOOKUP(C11-G11, ImpostoDeRenda, 3,TRUE)</f>
        <v>0</v>
      </c>
      <c r="F11" s="4">
        <f t="shared" si="0"/>
        <v>0</v>
      </c>
      <c r="G11" s="15">
        <v>117.36</v>
      </c>
      <c r="H11" s="28"/>
      <c r="I11" s="10">
        <v>3418.6</v>
      </c>
      <c r="J11" s="12">
        <v>0.22500000000000001</v>
      </c>
      <c r="K11" s="14">
        <v>577</v>
      </c>
    </row>
    <row r="12" spans="2:14" x14ac:dyDescent="0.25">
      <c r="B12" s="6" t="s">
        <v>14</v>
      </c>
      <c r="C12" s="3">
        <v>2800</v>
      </c>
      <c r="D12" s="16">
        <f xml:space="preserve"> VLOOKUP(C12-G12, ImpostoDeRenda,2, 1) * C12</f>
        <v>420</v>
      </c>
      <c r="E12" s="3">
        <f>VLOOKUP(C12-G12, ImpostoDeRenda, 3,TRUE)</f>
        <v>320.60000000000002</v>
      </c>
      <c r="F12" s="4">
        <f t="shared" si="0"/>
        <v>99.399999999999977</v>
      </c>
      <c r="G12" s="15">
        <v>224</v>
      </c>
      <c r="H12" s="29"/>
      <c r="I12" s="10">
        <v>4271.59</v>
      </c>
      <c r="J12" s="12">
        <v>0.27500000000000002</v>
      </c>
      <c r="K12" s="14">
        <v>790.58</v>
      </c>
    </row>
    <row r="13" spans="2:14" x14ac:dyDescent="0.25">
      <c r="B13" s="6" t="s">
        <v>15</v>
      </c>
      <c r="C13" s="3">
        <v>560</v>
      </c>
      <c r="D13" s="16">
        <f xml:space="preserve"> VLOOKUP(C13-G13, ImpostoDeRenda,2, 1) * C13</f>
        <v>0</v>
      </c>
      <c r="E13" s="3">
        <f>VLOOKUP(C13-G13, ImpostoDeRenda, 3,TRUE)</f>
        <v>0</v>
      </c>
      <c r="F13" s="4">
        <f t="shared" si="0"/>
        <v>0</v>
      </c>
      <c r="G13" s="15">
        <v>44.800000000000004</v>
      </c>
      <c r="H13" s="28"/>
    </row>
    <row r="14" spans="2:14" x14ac:dyDescent="0.25">
      <c r="B14" s="6" t="s">
        <v>16</v>
      </c>
      <c r="C14" s="3">
        <v>4300</v>
      </c>
      <c r="D14" s="16">
        <f xml:space="preserve"> VLOOKUP(C14-G14, ImpostoDeRenda,2, 1) * C14</f>
        <v>967.5</v>
      </c>
      <c r="E14" s="3">
        <f>VLOOKUP(C14-G14, ImpostoDeRenda, 3,TRUE)</f>
        <v>577</v>
      </c>
      <c r="F14" s="4">
        <f t="shared" si="0"/>
        <v>390.5</v>
      </c>
      <c r="G14" s="15">
        <v>344</v>
      </c>
      <c r="H14" s="29"/>
    </row>
    <row r="15" spans="2:14" x14ac:dyDescent="0.25">
      <c r="B15" s="13" t="s">
        <v>17</v>
      </c>
      <c r="C15" s="3">
        <v>2789</v>
      </c>
      <c r="D15" s="16">
        <f xml:space="preserve"> VLOOKUP(C15-G15, ImpostoDeRenda,2, 1) * C15</f>
        <v>418.34999999999997</v>
      </c>
      <c r="E15" s="3">
        <f>VLOOKUP(C15-G15, ImpostoDeRenda, 3,TRUE)</f>
        <v>320.60000000000002</v>
      </c>
      <c r="F15" s="4">
        <f t="shared" si="0"/>
        <v>97.749999999999943</v>
      </c>
      <c r="G15" s="15">
        <v>223.12</v>
      </c>
      <c r="H15" s="29"/>
    </row>
    <row r="16" spans="2:14" x14ac:dyDescent="0.25">
      <c r="B16" s="13" t="s">
        <v>18</v>
      </c>
      <c r="C16" s="3">
        <v>2250</v>
      </c>
      <c r="D16" s="16">
        <f xml:space="preserve"> VLOOKUP(C16-G16, ImpostoDeRenda,2, 1) * C16</f>
        <v>168.75</v>
      </c>
      <c r="E16" s="3">
        <f>VLOOKUP(C16-G16, ImpostoDeRenda, 3,TRUE)</f>
        <v>128.31</v>
      </c>
      <c r="F16" s="4">
        <f t="shared" si="0"/>
        <v>40.44</v>
      </c>
      <c r="G16" s="15">
        <v>180</v>
      </c>
      <c r="H16" s="29"/>
    </row>
    <row r="17" spans="2:8" x14ac:dyDescent="0.25">
      <c r="B17" s="13" t="s">
        <v>19</v>
      </c>
      <c r="C17" s="3">
        <v>1289</v>
      </c>
      <c r="D17" s="16">
        <f xml:space="preserve"> VLOOKUP(C17-G17, ImpostoDeRenda,2, 1) * C17</f>
        <v>0</v>
      </c>
      <c r="E17" s="3">
        <f>VLOOKUP(C17-G17, ImpostoDeRenda, 3,TRUE)</f>
        <v>0</v>
      </c>
      <c r="F17" s="4">
        <f t="shared" si="0"/>
        <v>0</v>
      </c>
      <c r="G17" s="15">
        <v>103.12</v>
      </c>
      <c r="H17" s="28"/>
    </row>
    <row r="18" spans="2:8" x14ac:dyDescent="0.25">
      <c r="B18" s="13" t="s">
        <v>20</v>
      </c>
      <c r="C18" s="3">
        <v>3400</v>
      </c>
      <c r="D18" s="16">
        <f xml:space="preserve"> VLOOKUP(C18-G18, ImpostoDeRenda,2, 1) * C18</f>
        <v>510</v>
      </c>
      <c r="E18" s="3">
        <f>VLOOKUP(C18-G18, ImpostoDeRenda, 3,TRUE)</f>
        <v>320.60000000000002</v>
      </c>
      <c r="F18" s="4">
        <f t="shared" si="0"/>
        <v>189.39999999999998</v>
      </c>
      <c r="G18" s="15">
        <v>272</v>
      </c>
      <c r="H18" s="29"/>
    </row>
    <row r="19" spans="2:8" x14ac:dyDescent="0.25">
      <c r="B19" s="13" t="s">
        <v>21</v>
      </c>
      <c r="C19" s="3">
        <v>3700</v>
      </c>
      <c r="D19" s="16">
        <f xml:space="preserve"> VLOOKUP(C19-G19, ImpostoDeRenda,2, 1) * C19</f>
        <v>555</v>
      </c>
      <c r="E19" s="3">
        <f>VLOOKUP(C19-G19, ImpostoDeRenda, 3,TRUE)</f>
        <v>320.60000000000002</v>
      </c>
      <c r="F19" s="4">
        <f t="shared" si="0"/>
        <v>234.39999999999998</v>
      </c>
      <c r="G19" s="15">
        <v>296</v>
      </c>
      <c r="H19" s="29"/>
    </row>
    <row r="20" spans="2:8" x14ac:dyDescent="0.25">
      <c r="B20" s="13" t="s">
        <v>22</v>
      </c>
      <c r="C20" s="3">
        <v>5600</v>
      </c>
      <c r="D20" s="16">
        <f xml:space="preserve"> VLOOKUP(C20-G20, ImpostoDeRenda,2, 1) * C20</f>
        <v>1540.0000000000002</v>
      </c>
      <c r="E20" s="3">
        <f>VLOOKUP(C20-G20, ImpostoDeRenda, 3,TRUE)</f>
        <v>790.58</v>
      </c>
      <c r="F20" s="4">
        <f t="shared" si="0"/>
        <v>749.42000000000019</v>
      </c>
      <c r="G20" s="15">
        <v>448</v>
      </c>
      <c r="H20" s="29"/>
    </row>
    <row r="21" spans="2:8" x14ac:dyDescent="0.25">
      <c r="B21" s="13" t="s">
        <v>23</v>
      </c>
      <c r="C21" s="3">
        <v>2890</v>
      </c>
      <c r="D21" s="16">
        <f xml:space="preserve"> VLOOKUP(C21-G21, ImpostoDeRenda,2, 1) * C21</f>
        <v>433.5</v>
      </c>
      <c r="E21" s="3">
        <f>VLOOKUP(C21-G21, ImpostoDeRenda, 3,TRUE)</f>
        <v>320.60000000000002</v>
      </c>
      <c r="F21" s="4">
        <f t="shared" si="0"/>
        <v>112.89999999999998</v>
      </c>
      <c r="G21" s="15">
        <v>231.20000000000002</v>
      </c>
      <c r="H21" s="29"/>
    </row>
    <row r="22" spans="2:8" x14ac:dyDescent="0.25">
      <c r="B22" s="13" t="s">
        <v>24</v>
      </c>
      <c r="C22" s="3">
        <v>3200</v>
      </c>
      <c r="D22" s="16">
        <f xml:space="preserve"> VLOOKUP(C22-G22, ImpostoDeRenda,2, 1) * C22</f>
        <v>480</v>
      </c>
      <c r="E22" s="3">
        <f>VLOOKUP(C22-G22, ImpostoDeRenda, 3,TRUE)</f>
        <v>320.60000000000002</v>
      </c>
      <c r="F22" s="4">
        <f t="shared" si="0"/>
        <v>159.39999999999998</v>
      </c>
      <c r="G22" s="15">
        <v>256</v>
      </c>
      <c r="H22" s="29"/>
    </row>
    <row r="23" spans="2:8" x14ac:dyDescent="0.25">
      <c r="B23" s="13" t="s">
        <v>25</v>
      </c>
      <c r="C23" s="3">
        <v>1050</v>
      </c>
      <c r="D23" s="16">
        <f xml:space="preserve"> VLOOKUP(C23-G23, ImpostoDeRenda,2, 1) * C23</f>
        <v>0</v>
      </c>
      <c r="E23" s="3">
        <f>VLOOKUP(C23-G23, ImpostoDeRenda, 3,TRUE)</f>
        <v>0</v>
      </c>
      <c r="F23" s="4">
        <f t="shared" si="0"/>
        <v>0</v>
      </c>
      <c r="G23" s="15">
        <v>84</v>
      </c>
      <c r="H23" s="28"/>
    </row>
  </sheetData>
  <mergeCells count="2">
    <mergeCell ref="I6:K6"/>
    <mergeCell ref="M6:N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7</vt:i4>
      </vt:variant>
    </vt:vector>
  </HeadingPairs>
  <TitlesOfParts>
    <vt:vector size="8" baseType="lpstr">
      <vt:lpstr>WS_BRINQUEDOS_BRINCADEIRA</vt:lpstr>
      <vt:lpstr>impostoAhPagar</vt:lpstr>
      <vt:lpstr>ImpostoDeRenda</vt:lpstr>
      <vt:lpstr>impostoRenda</vt:lpstr>
      <vt:lpstr>Inss</vt:lpstr>
      <vt:lpstr>inssAhPagar</vt:lpstr>
      <vt:lpstr>parcelaDeduzir</vt:lpstr>
      <vt:lpstr>SALARIO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AndersomCruz</cp:lastModifiedBy>
  <dcterms:created xsi:type="dcterms:W3CDTF">2008-04-18T17:21:50Z</dcterms:created>
  <dcterms:modified xsi:type="dcterms:W3CDTF">2021-01-28T23:12:07Z</dcterms:modified>
</cp:coreProperties>
</file>